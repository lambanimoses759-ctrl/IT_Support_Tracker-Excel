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\Desktop\"/>
    </mc:Choice>
  </mc:AlternateContent>
  <xr:revisionPtr revIDLastSave="0" documentId="8_{3D551390-1093-4771-ADB6-8E81A618AB94}" xr6:coauthVersionLast="47" xr6:coauthVersionMax="47" xr10:uidLastSave="{00000000-0000-0000-0000-000000000000}"/>
  <bookViews>
    <workbookView xWindow="-120" yWindow="-120" windowWidth="24240" windowHeight="13140" activeTab="1" xr2:uid="{D36457ED-C667-474B-B068-E57107171A0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<sst xmlns="http://schemas.openxmlformats.org/spreadsheetml/2006/main" count="162" uniqueCount="106">
  <si>
    <t>Ticket ID</t>
  </si>
  <si>
    <t>Date</t>
  </si>
  <si>
    <t>User Name</t>
  </si>
  <si>
    <t>Issue Type</t>
  </si>
  <si>
    <t>Priority</t>
  </si>
  <si>
    <t>Status</t>
  </si>
  <si>
    <t>Category</t>
  </si>
  <si>
    <t>Resolution Notes</t>
  </si>
  <si>
    <t>Resolution Time(Hours)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</si>
  <si>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</si>
  <si>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</si>
  <si>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</si>
  <si>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</si>
  <si>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</si>
  <si>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</si>
  <si>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</si>
  <si>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</si>
  <si>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</si>
  <si>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</si>
  <si>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</si>
  <si>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</si>
  <si>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</si>
  <si>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</si>
  <si>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</si>
  <si>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</si>
  <si>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</si>
  <si>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</si>
  <si>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</si>
  <si>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</si>
  <si>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Moses Lambani</t>
  </si>
  <si>
    <t>Silas Ledwaba</t>
  </si>
  <si>
    <t>Sydney Ramushowana</t>
  </si>
  <si>
    <t>Sipho Zulu</t>
  </si>
  <si>
    <t>Fatima Hassan</t>
  </si>
  <si>
    <t>Dembe Siwada</t>
  </si>
  <si>
    <t>Mulalo Nevhufumba</t>
  </si>
  <si>
    <t>Naho Takalani</t>
  </si>
  <si>
    <t>Tondi Mulaudzi</t>
  </si>
  <si>
    <t>Shudu Lambani</t>
  </si>
  <si>
    <t>Bongani Khumalo</t>
  </si>
  <si>
    <t>Robert Taylor</t>
  </si>
  <si>
    <t>Jarrad Higgins</t>
  </si>
  <si>
    <t>Tumelo Sithole</t>
  </si>
  <si>
    <t>Nomusa Cele</t>
  </si>
  <si>
    <t>Zanele Ndlovu</t>
  </si>
  <si>
    <t>Lisa Wang</t>
  </si>
  <si>
    <t>Kagiso Peters</t>
  </si>
  <si>
    <t>Emily Brown</t>
  </si>
  <si>
    <t>Muofhe Dax</t>
  </si>
  <si>
    <t>Passowrd Reset</t>
  </si>
  <si>
    <t>Printer Not Working</t>
  </si>
  <si>
    <t>WiFi down</t>
  </si>
  <si>
    <t>Email Not Syncing</t>
  </si>
  <si>
    <t>New User Setup</t>
  </si>
  <si>
    <t>Laptop Slow</t>
  </si>
  <si>
    <t>VPN Access</t>
  </si>
  <si>
    <t>Excel Keeps Crashing</t>
  </si>
  <si>
    <t>Monitor No Display</t>
  </si>
  <si>
    <t>Shared Drive Access</t>
  </si>
  <si>
    <t>Phishing Email Report</t>
  </si>
  <si>
    <t>Server Backup Failed</t>
  </si>
  <si>
    <t>Adobe Install Request</t>
  </si>
  <si>
    <t>New Laptop Request</t>
  </si>
  <si>
    <t>Deleted Files Recovery</t>
  </si>
  <si>
    <t>MFA Setup Help</t>
  </si>
  <si>
    <t>Power BI Install Request</t>
  </si>
  <si>
    <t>High</t>
  </si>
  <si>
    <t>Medium</t>
  </si>
  <si>
    <t>Closed</t>
  </si>
  <si>
    <t>Low</t>
  </si>
  <si>
    <t>Security</t>
  </si>
  <si>
    <t>Hardware</t>
  </si>
  <si>
    <t>Software</t>
  </si>
  <si>
    <t>Onboarding</t>
  </si>
  <si>
    <t>Network</t>
  </si>
  <si>
    <t>Permissions</t>
  </si>
  <si>
    <t>Server</t>
  </si>
  <si>
    <t>Open</t>
  </si>
  <si>
    <t>Reset AD password + MFA</t>
  </si>
  <si>
    <t>Waiting for toner delivery</t>
  </si>
  <si>
    <t>Investigating router</t>
  </si>
  <si>
    <t>Reconfigured Outlook IMAP</t>
  </si>
  <si>
    <t>Created M365 + laptop setup</t>
  </si>
  <si>
    <t>Cleared temp files, added RAM</t>
  </si>
  <si>
    <t>Granted VPN via firewall</t>
  </si>
  <si>
    <t>Reinstalled Office 365</t>
  </si>
  <si>
    <t>Ordered new monitor</t>
  </si>
  <si>
    <t>Added to finance share</t>
  </si>
  <si>
    <t>Blocked phishing domain</t>
  </si>
  <si>
    <t>Fixed Veeam backup job</t>
  </si>
  <si>
    <t>Installed Adobe Reader</t>
  </si>
  <si>
    <t>Reset + forced password change</t>
  </si>
  <si>
    <t>Awaiting new laptop approval</t>
  </si>
  <si>
    <t>Created user in AD</t>
  </si>
  <si>
    <t>Restarted AP - cable loose</t>
  </si>
  <si>
    <t>Restore in progress</t>
  </si>
  <si>
    <t>Enabled MFA + training</t>
  </si>
  <si>
    <t>Installed Power BI Desktop</t>
  </si>
  <si>
    <t>Metric</t>
  </si>
  <si>
    <t>Value</t>
  </si>
  <si>
    <t>Total Tickets</t>
  </si>
  <si>
    <t>Open Tickets</t>
  </si>
  <si>
    <t>Closed Tickets</t>
  </si>
  <si>
    <t>High Priority Open</t>
  </si>
  <si>
    <t>Avg Resolution Time</t>
  </si>
  <si>
    <t>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</si>
</sst>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57D9-CC6B-4B0B-8CB5-85668E2E654C}">
  <dimension ref="A1:I21"/>
  <sheetViews>
    <sheetView topLeftCell="A13" workbookViewId="0">
      <selection activeCell="C37" sqref="C37"/>
    </sheetView>
  </sheetViews>
  <sheetFormatPr defaultRowHeight="15" x14ac:dyDescent="0.25"/>
  <cols>
    <col min="2" max="2" width="10.7109375" bestFit="1" customWidth="1"/>
    <col min="3" max="3" width="21" bestFit="1" customWidth="1"/>
    <col min="4" max="4" width="23.5703125" customWidth="1"/>
    <col min="6" max="6" width="20.5703125" bestFit="1" customWidth="1"/>
    <col min="8" max="8" width="22.42578125" bestFit="1" customWidth="1"/>
    <col min="9" max="9" width="29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8</v>
      </c>
      <c r="I1" s="1" t="s">
        <v>7</v>
      </c>
    </row>
    <row r="2" spans="1:9" x14ac:dyDescent="0.25">
      <c r="A2" t="s">
        <v>9</v>
      </c>
      <c r="B2" s="2">
        <v>46310</v>
      </c>
      <c r="C2" t="s">
        <v>29</v>
      </c>
      <c r="D2" t="s">
        <v>49</v>
      </c>
      <c r="E2" t="s">
        <v>66</v>
      </c>
      <c r="F2" t="s">
        <v>70</v>
      </c>
      <c r="G2" t="s">
        <v>68</v>
      </c>
      <c r="H2">
        <v>0.5</v>
      </c>
      <c r="I2" t="s">
        <v>78</v>
      </c>
    </row>
    <row r="3" spans="1:9" x14ac:dyDescent="0.25">
      <c r="A3" t="s">
        <v>10</v>
      </c>
      <c r="B3" s="2">
        <v>46311</v>
      </c>
      <c r="C3" t="s">
        <v>30</v>
      </c>
      <c r="D3" t="s">
        <v>50</v>
      </c>
      <c r="E3" t="s">
        <v>67</v>
      </c>
      <c r="F3" t="s">
        <v>71</v>
      </c>
      <c r="G3" t="s">
        <v>77</v>
      </c>
      <c r="I3" t="s">
        <v>79</v>
      </c>
    </row>
    <row r="4" spans="1:9" x14ac:dyDescent="0.25">
      <c r="A4" t="s">
        <v>11</v>
      </c>
      <c r="B4" s="2">
        <v>46311</v>
      </c>
      <c r="C4" t="s">
        <v>31</v>
      </c>
      <c r="D4" t="s">
        <v>51</v>
      </c>
      <c r="E4" t="s">
        <v>66</v>
      </c>
      <c r="F4" t="s">
        <v>74</v>
      </c>
      <c r="G4" t="s">
        <v>77</v>
      </c>
      <c r="I4" t="s">
        <v>80</v>
      </c>
    </row>
    <row r="5" spans="1:9" x14ac:dyDescent="0.25">
      <c r="A5" t="s">
        <v>12</v>
      </c>
      <c r="B5" s="2">
        <v>46312</v>
      </c>
      <c r="C5" t="s">
        <v>32</v>
      </c>
      <c r="D5" t="s">
        <v>52</v>
      </c>
      <c r="E5" t="s">
        <v>67</v>
      </c>
      <c r="F5" t="s">
        <v>72</v>
      </c>
      <c r="G5" t="s">
        <v>68</v>
      </c>
      <c r="H5">
        <v>1</v>
      </c>
      <c r="I5" t="s">
        <v>81</v>
      </c>
    </row>
    <row r="6" spans="1:9" x14ac:dyDescent="0.25">
      <c r="A6" t="s">
        <v>13</v>
      </c>
      <c r="B6" s="2">
        <v>46313</v>
      </c>
      <c r="C6" t="s">
        <v>33</v>
      </c>
      <c r="D6" t="s">
        <v>53</v>
      </c>
      <c r="E6" t="s">
        <v>69</v>
      </c>
      <c r="F6" t="s">
        <v>73</v>
      </c>
      <c r="G6" t="s">
        <v>77</v>
      </c>
      <c r="I6" t="s">
        <v>82</v>
      </c>
    </row>
    <row r="7" spans="1:9" x14ac:dyDescent="0.25">
      <c r="A7" t="s">
        <v>14</v>
      </c>
      <c r="B7" s="2">
        <v>46313</v>
      </c>
      <c r="C7" t="s">
        <v>34</v>
      </c>
      <c r="D7" t="s">
        <v>54</v>
      </c>
      <c r="E7" t="s">
        <v>67</v>
      </c>
      <c r="F7" t="s">
        <v>71</v>
      </c>
      <c r="G7" t="s">
        <v>68</v>
      </c>
      <c r="H7">
        <v>0.3</v>
      </c>
      <c r="I7" t="s">
        <v>83</v>
      </c>
    </row>
    <row r="8" spans="1:9" x14ac:dyDescent="0.25">
      <c r="A8" t="s">
        <v>15</v>
      </c>
      <c r="B8" s="2">
        <v>46314</v>
      </c>
      <c r="C8" t="s">
        <v>35</v>
      </c>
      <c r="D8" t="s">
        <v>55</v>
      </c>
      <c r="E8" t="s">
        <v>66</v>
      </c>
      <c r="F8" t="s">
        <v>74</v>
      </c>
      <c r="G8" t="s">
        <v>68</v>
      </c>
      <c r="H8">
        <v>1</v>
      </c>
      <c r="I8" t="s">
        <v>84</v>
      </c>
    </row>
    <row r="9" spans="1:9" x14ac:dyDescent="0.25">
      <c r="A9" t="s">
        <v>16</v>
      </c>
      <c r="B9" s="2">
        <v>46315</v>
      </c>
      <c r="C9" t="s">
        <v>36</v>
      </c>
      <c r="D9" t="s">
        <v>56</v>
      </c>
      <c r="E9" t="s">
        <v>66</v>
      </c>
      <c r="F9" t="s">
        <v>72</v>
      </c>
      <c r="G9" t="s">
        <v>68</v>
      </c>
      <c r="H9">
        <v>1.2</v>
      </c>
      <c r="I9" t="s">
        <v>85</v>
      </c>
    </row>
    <row r="10" spans="1:9" x14ac:dyDescent="0.25">
      <c r="A10" t="s">
        <v>17</v>
      </c>
      <c r="B10" s="2">
        <v>46316</v>
      </c>
      <c r="C10" t="s">
        <v>37</v>
      </c>
      <c r="D10" t="s">
        <v>57</v>
      </c>
      <c r="E10" t="s">
        <v>66</v>
      </c>
      <c r="F10" t="s">
        <v>71</v>
      </c>
      <c r="G10" t="s">
        <v>77</v>
      </c>
      <c r="I10" t="s">
        <v>86</v>
      </c>
    </row>
    <row r="11" spans="1:9" x14ac:dyDescent="0.25">
      <c r="A11" t="s">
        <v>18</v>
      </c>
      <c r="B11" s="2">
        <v>46316</v>
      </c>
      <c r="C11" t="s">
        <v>38</v>
      </c>
      <c r="D11" t="s">
        <v>58</v>
      </c>
      <c r="E11" t="s">
        <v>66</v>
      </c>
      <c r="F11" t="s">
        <v>75</v>
      </c>
      <c r="G11" t="s">
        <v>77</v>
      </c>
      <c r="I11" t="s">
        <v>87</v>
      </c>
    </row>
    <row r="12" spans="1:9" x14ac:dyDescent="0.25">
      <c r="A12" t="s">
        <v>19</v>
      </c>
      <c r="B12" s="2">
        <v>46316</v>
      </c>
      <c r="C12" t="s">
        <v>39</v>
      </c>
      <c r="D12" t="s">
        <v>59</v>
      </c>
      <c r="E12" t="s">
        <v>66</v>
      </c>
      <c r="F12" t="s">
        <v>70</v>
      </c>
      <c r="G12" t="s">
        <v>77</v>
      </c>
      <c r="I12" t="s">
        <v>88</v>
      </c>
    </row>
    <row r="13" spans="1:9" x14ac:dyDescent="0.25">
      <c r="A13" t="s">
        <v>20</v>
      </c>
      <c r="B13" s="2">
        <v>46317</v>
      </c>
      <c r="C13" t="s">
        <v>40</v>
      </c>
      <c r="D13" t="s">
        <v>60</v>
      </c>
      <c r="E13" t="s">
        <v>66</v>
      </c>
      <c r="F13" t="s">
        <v>76</v>
      </c>
      <c r="G13" t="s">
        <v>68</v>
      </c>
      <c r="H13">
        <v>3</v>
      </c>
      <c r="I13" t="s">
        <v>89</v>
      </c>
    </row>
    <row r="14" spans="1:9" x14ac:dyDescent="0.25">
      <c r="A14" t="s">
        <v>21</v>
      </c>
      <c r="B14" s="2">
        <v>46318</v>
      </c>
      <c r="C14" t="s">
        <v>41</v>
      </c>
      <c r="D14" t="s">
        <v>61</v>
      </c>
      <c r="E14" t="s">
        <v>69</v>
      </c>
      <c r="F14" t="s">
        <v>72</v>
      </c>
      <c r="G14" t="s">
        <v>68</v>
      </c>
      <c r="H14">
        <v>0.3</v>
      </c>
      <c r="I14" t="s">
        <v>90</v>
      </c>
    </row>
    <row r="15" spans="1:9" x14ac:dyDescent="0.25">
      <c r="A15" t="s">
        <v>22</v>
      </c>
      <c r="B15" s="2">
        <v>46318</v>
      </c>
      <c r="C15" t="s">
        <v>42</v>
      </c>
      <c r="D15" t="s">
        <v>49</v>
      </c>
      <c r="E15" t="s">
        <v>67</v>
      </c>
      <c r="F15" t="s">
        <v>70</v>
      </c>
      <c r="G15" t="s">
        <v>68</v>
      </c>
      <c r="H15">
        <v>0.1</v>
      </c>
      <c r="I15" t="s">
        <v>91</v>
      </c>
    </row>
    <row r="16" spans="1:9" x14ac:dyDescent="0.25">
      <c r="A16" t="s">
        <v>23</v>
      </c>
      <c r="B16" s="2">
        <v>46319</v>
      </c>
      <c r="C16" t="s">
        <v>43</v>
      </c>
      <c r="D16" t="s">
        <v>62</v>
      </c>
      <c r="E16" t="s">
        <v>69</v>
      </c>
      <c r="F16" t="s">
        <v>73</v>
      </c>
      <c r="G16" t="s">
        <v>77</v>
      </c>
      <c r="I16" t="s">
        <v>92</v>
      </c>
    </row>
    <row r="17" spans="1:9" x14ac:dyDescent="0.25">
      <c r="A17" t="s">
        <v>24</v>
      </c>
      <c r="B17" s="2">
        <v>46320</v>
      </c>
      <c r="C17" t="s">
        <v>44</v>
      </c>
      <c r="D17" t="s">
        <v>53</v>
      </c>
      <c r="E17" t="s">
        <v>69</v>
      </c>
      <c r="F17" t="s">
        <v>73</v>
      </c>
      <c r="G17" t="s">
        <v>77</v>
      </c>
      <c r="I17" t="s">
        <v>93</v>
      </c>
    </row>
    <row r="18" spans="1:9" x14ac:dyDescent="0.25">
      <c r="A18" t="s">
        <v>25</v>
      </c>
      <c r="B18" s="2">
        <v>46320</v>
      </c>
      <c r="C18" t="s">
        <v>45</v>
      </c>
      <c r="D18" t="s">
        <v>51</v>
      </c>
      <c r="E18" t="s">
        <v>66</v>
      </c>
      <c r="F18" t="s">
        <v>74</v>
      </c>
      <c r="G18" t="s">
        <v>68</v>
      </c>
      <c r="H18">
        <v>0.2</v>
      </c>
      <c r="I18" t="s">
        <v>94</v>
      </c>
    </row>
    <row r="19" spans="1:9" x14ac:dyDescent="0.25">
      <c r="A19" t="s">
        <v>26</v>
      </c>
      <c r="B19" s="2">
        <v>46320</v>
      </c>
      <c r="C19" t="s">
        <v>46</v>
      </c>
      <c r="D19" t="s">
        <v>63</v>
      </c>
      <c r="E19" t="s">
        <v>69</v>
      </c>
      <c r="F19" t="s">
        <v>76</v>
      </c>
      <c r="G19" t="s">
        <v>77</v>
      </c>
      <c r="I19" t="s">
        <v>95</v>
      </c>
    </row>
    <row r="20" spans="1:9" x14ac:dyDescent="0.25">
      <c r="A20" t="s">
        <v>27</v>
      </c>
      <c r="B20" s="2">
        <v>46321</v>
      </c>
      <c r="C20" t="s">
        <v>47</v>
      </c>
      <c r="D20" t="s">
        <v>64</v>
      </c>
      <c r="E20" t="s">
        <v>67</v>
      </c>
      <c r="F20" t="s">
        <v>70</v>
      </c>
      <c r="G20" t="s">
        <v>68</v>
      </c>
      <c r="H20">
        <v>1</v>
      </c>
      <c r="I20" t="s">
        <v>96</v>
      </c>
    </row>
    <row r="21" spans="1:9" x14ac:dyDescent="0.25">
      <c r="A21" t="s">
        <v>28</v>
      </c>
      <c r="B21" s="2">
        <v>46322</v>
      </c>
      <c r="C21" t="s">
        <v>48</v>
      </c>
      <c r="D21" t="s">
        <v>65</v>
      </c>
      <c r="E21" t="s">
        <v>69</v>
      </c>
      <c r="F21" t="s">
        <v>72</v>
      </c>
      <c r="G21" t="s">
        <v>77</v>
      </c>
      <c r="I21" t="s">
        <v>97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48B2-D45C-4716-AC14-A1E01B84502A}">
  <dimension ref="A1:B12"/>
  <sheetViews>
    <sheetView tabSelected="1" workbookViewId="0">
      <selection activeCell="C16" sqref="C16"/>
    </sheetView>
  </sheetViews>
  <sheetFormatPr defaultRowHeight="15" x14ac:dyDescent="0.25"/>
  <cols>
    <col min="1" max="1" width="19.42578125" bestFit="1" customWidth="1"/>
  </cols>
  <sheetData>
    <row r="1" spans="1:2" x14ac:dyDescent="0.25">
      <c r="A1" s="1" t="s">
        <v>98</v>
      </c>
      <c r="B1" s="1" t="s">
        <v>99</v>
      </c>
    </row>
    <row r="2" spans="1:2" x14ac:dyDescent="0.25">
      <c r="A2" t="s">
        <v>100</v>
      </c>
      <c r="B2">
        <f>COUNTA(Sheet1!A2:A21)</f>
        <v>20</v>
      </c>
    </row>
    <row r="3" spans="1:2" x14ac:dyDescent="0.25">
      <c r="A3" t="s">
        <v>101</v>
      </c>
      <c r="B3">
        <f>COUNTIF(Sheet1!G2:G21,"Open")</f>
        <v>10</v>
      </c>
    </row>
    <row r="4" spans="1:2" x14ac:dyDescent="0.25">
      <c r="A4" t="s">
        <v>102</v>
      </c>
      <c r="B4">
        <f>COUNTIF(Sheet1!G2:G21,"Closed")</f>
        <v>10</v>
      </c>
    </row>
    <row r="5" spans="1:2" x14ac:dyDescent="0.25">
      <c r="A5" t="s">
        <v>103</v>
      </c>
      <c r="B5">
        <f>COUNTIFS(Sheet1!E2:E21,"High",Sheet1!G2:G21,"Open")</f>
        <v>4</v>
      </c>
    </row>
    <row r="6" spans="1:2" x14ac:dyDescent="0.25">
      <c r="A6" t="s">
        <v>104</v>
      </c>
      <c r="B6">
        <f>AVERAGE(Sheet1!H2:H21)</f>
        <v>0.86</v>
      </c>
    </row>
    <row r="8" spans="1:2" x14ac:dyDescent="0.25">
      <c r="A8" s="1" t="s">
        <v>105</v>
      </c>
      <c r="B8" s="1" t="s">
        <v>99</v>
      </c>
    </row>
    <row r="9" spans="1:2" x14ac:dyDescent="0.25">
      <c r="A9" t="s">
        <v>71</v>
      </c>
      <c r="B9">
        <f>COUNTIF(Sheet1!F2:F21,"Hardware")</f>
        <v>3</v>
      </c>
    </row>
    <row r="10" spans="1:2" x14ac:dyDescent="0.25">
      <c r="A10" t="s">
        <v>72</v>
      </c>
      <c r="B10">
        <f>COUNTIF(Sheet1!F2:F21,"Software")</f>
        <v>4</v>
      </c>
    </row>
    <row r="11" spans="1:2" x14ac:dyDescent="0.25">
      <c r="A11" t="s">
        <v>74</v>
      </c>
      <c r="B11">
        <f>COUNTIF(Sheet1!F2:F21,"Network")</f>
        <v>3</v>
      </c>
    </row>
    <row r="12" spans="1:2" x14ac:dyDescent="0.25">
      <c r="A12" t="s">
        <v>70</v>
      </c>
      <c r="B12">
        <f>COUNTIF(Sheet1!F2:F21,"Security")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lambani moses</dc:creator>
  <cp:lastModifiedBy>lambani moses</cp:lastModifiedBy>
  <dcterms:created xsi:type="dcterms:W3CDTF">2026-10-27T08:51:58Z</dcterms:created>
  <dcterms:modified xsi:type="dcterms:W3CDTF">2026-10-27T09:36:24Z</dcterms:modified>
</cp:coreProperties>
</file>